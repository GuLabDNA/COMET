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ingru\references\Output\coverage\"/>
    </mc:Choice>
  </mc:AlternateContent>
  <xr:revisionPtr revIDLastSave="0" documentId="13_ncr:1_{CF0630ED-5035-4BA1-A3B3-735420091120}" xr6:coauthVersionLast="47" xr6:coauthVersionMax="47" xr10:uidLastSave="{00000000-0000-0000-0000-000000000000}"/>
  <bookViews>
    <workbookView xWindow="15" yWindow="15" windowWidth="19170" windowHeight="9630" activeTab="3" xr2:uid="{A061518A-EE8E-4B85-A4F0-7BEA6C992838}"/>
  </bookViews>
  <sheets>
    <sheet name="allCpGs_cov" sheetId="1" r:id="rId1"/>
    <sheet name="classifier_cov" sheetId="2" r:id="rId2"/>
    <sheet name="allCpGs_cov_update" sheetId="3" r:id="rId3"/>
    <sheet name="TCGA_inter_c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/>
  <c r="G4" i="4"/>
  <c r="G2" i="4"/>
  <c r="F6" i="4"/>
  <c r="F4" i="4"/>
  <c r="F2" i="4"/>
  <c r="C3" i="4"/>
  <c r="C2" i="4"/>
  <c r="G9" i="3"/>
  <c r="G10" i="3"/>
  <c r="G11" i="3"/>
  <c r="G12" i="3"/>
  <c r="G13" i="3"/>
  <c r="G8" i="3"/>
  <c r="F9" i="3"/>
  <c r="F10" i="3"/>
  <c r="F11" i="3"/>
  <c r="F12" i="3"/>
  <c r="F13" i="3"/>
  <c r="F8" i="3"/>
  <c r="D8" i="3"/>
  <c r="D16" i="3"/>
  <c r="D14" i="3"/>
  <c r="D2" i="3"/>
  <c r="D14" i="1"/>
  <c r="D9" i="1"/>
  <c r="D7" i="1"/>
  <c r="D2" i="1"/>
  <c r="C5" i="4"/>
  <c r="C4" i="4"/>
  <c r="D2" i="2"/>
  <c r="C7" i="4"/>
  <c r="C6" i="4"/>
  <c r="D3" i="3"/>
  <c r="D4" i="3"/>
  <c r="D5" i="3"/>
  <c r="D6" i="3"/>
  <c r="D7" i="3"/>
  <c r="D9" i="3"/>
  <c r="D10" i="3"/>
  <c r="D11" i="3"/>
  <c r="D12" i="3"/>
  <c r="D13" i="3"/>
  <c r="D15" i="3"/>
  <c r="D17" i="3"/>
  <c r="D18" i="3"/>
  <c r="D19" i="3"/>
  <c r="D19" i="1"/>
  <c r="B13" i="2"/>
  <c r="B11" i="2"/>
  <c r="B14" i="2"/>
  <c r="B21" i="1"/>
  <c r="D6" i="2"/>
  <c r="B12" i="2"/>
  <c r="D9" i="2"/>
  <c r="D8" i="2"/>
  <c r="D7" i="2"/>
  <c r="D4" i="1"/>
  <c r="D5" i="1"/>
  <c r="D6" i="1"/>
  <c r="D8" i="1"/>
  <c r="D10" i="1"/>
  <c r="D11" i="1"/>
  <c r="D12" i="1"/>
  <c r="D13" i="1"/>
  <c r="D15" i="1"/>
  <c r="D16" i="1"/>
  <c r="D17" i="1"/>
  <c r="D18" i="1"/>
  <c r="D5" i="2"/>
  <c r="D3" i="2"/>
  <c r="D4" i="2"/>
  <c r="D3" i="1"/>
</calcChain>
</file>

<file path=xl/sharedStrings.xml><?xml version="1.0" encoding="utf-8"?>
<sst xmlns="http://schemas.openxmlformats.org/spreadsheetml/2006/main" count="116" uniqueCount="16">
  <si>
    <t>Original</t>
  </si>
  <si>
    <t>1X</t>
  </si>
  <si>
    <t>5X</t>
  </si>
  <si>
    <t>10X</t>
  </si>
  <si>
    <t>20X</t>
  </si>
  <si>
    <t>30X</t>
  </si>
  <si>
    <t>Total</t>
  </si>
  <si>
    <t>Increased</t>
  </si>
  <si>
    <t>Group</t>
  </si>
  <si>
    <t>Value</t>
  </si>
  <si>
    <t>Pack_grp</t>
  </si>
  <si>
    <t>Perc</t>
  </si>
  <si>
    <t>CNS classifier</t>
  </si>
  <si>
    <t>TCGA classifier</t>
  </si>
  <si>
    <t>15X</t>
  </si>
  <si>
    <t>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</si>
</sst>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0006-1FA5-435E-8D8E-49CDA541F4B1}">
  <dimension ref="A1:D21"/>
  <sheetViews>
    <sheetView topLeftCell="A3" workbookViewId="0">
      <selection activeCell="D8" sqref="D8:D13"/>
    </sheetView>
  </sheetViews>
  <sheetFormatPr defaultRowHeight="15" x14ac:dyDescent="0.25"/>
  <cols>
    <col min="2" max="2" width="10.7109375" customWidth="1"/>
    <col min="3" max="3" width="12.8554687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</v>
      </c>
      <c r="B2">
        <v>13.255981999999999</v>
      </c>
      <c r="C2" t="s">
        <v>0</v>
      </c>
      <c r="D2">
        <f>B2/29.401795*100</f>
        <v>45.085621473110734</v>
      </c>
    </row>
    <row r="3" spans="1:4" x14ac:dyDescent="0.25">
      <c r="A3" t="s">
        <v>2</v>
      </c>
      <c r="B3">
        <v>8.1304309999999997</v>
      </c>
      <c r="C3" t="s">
        <v>0</v>
      </c>
      <c r="D3">
        <f t="shared" ref="D3:D18" si="0">B3/29.401795*100</f>
        <v>27.6528388827961</v>
      </c>
    </row>
    <row r="4" spans="1:4" x14ac:dyDescent="0.25">
      <c r="A4" t="s">
        <v>3</v>
      </c>
      <c r="B4">
        <v>6.0538109999999996</v>
      </c>
      <c r="C4" t="s">
        <v>0</v>
      </c>
      <c r="D4">
        <f t="shared" si="0"/>
        <v>20.589936770867219</v>
      </c>
    </row>
    <row r="5" spans="1:4" x14ac:dyDescent="0.25">
      <c r="A5" t="s">
        <v>14</v>
      </c>
      <c r="B5">
        <v>4.4397200000000003</v>
      </c>
      <c r="C5" t="s">
        <v>0</v>
      </c>
      <c r="D5">
        <f t="shared" si="0"/>
        <v>15.100166503439672</v>
      </c>
    </row>
    <row r="6" spans="1:4" x14ac:dyDescent="0.25">
      <c r="A6" t="s">
        <v>4</v>
      </c>
      <c r="B6">
        <v>3.2136</v>
      </c>
      <c r="C6" t="s">
        <v>0</v>
      </c>
      <c r="D6">
        <f t="shared" si="0"/>
        <v>10.929944923430696</v>
      </c>
    </row>
    <row r="7" spans="1:4" x14ac:dyDescent="0.25">
      <c r="A7" t="s">
        <v>5</v>
      </c>
      <c r="B7">
        <v>1.669489</v>
      </c>
      <c r="C7" t="s">
        <v>0</v>
      </c>
      <c r="D7">
        <f>B7/29.401795*100</f>
        <v>5.6781873351609997</v>
      </c>
    </row>
    <row r="8" spans="1:4" x14ac:dyDescent="0.25">
      <c r="A8" t="s">
        <v>1</v>
      </c>
      <c r="B8">
        <v>6.140188000000002</v>
      </c>
      <c r="C8" t="s">
        <v>7</v>
      </c>
      <c r="D8">
        <f t="shared" si="0"/>
        <v>20.883718153942649</v>
      </c>
    </row>
    <row r="9" spans="1:4" x14ac:dyDescent="0.25">
      <c r="A9" t="s">
        <v>2</v>
      </c>
      <c r="B9">
        <v>6.7344360000000005</v>
      </c>
      <c r="C9" t="s">
        <v>7</v>
      </c>
      <c r="D9">
        <f>B9/29.401795*100</f>
        <v>22.904846455803128</v>
      </c>
    </row>
    <row r="10" spans="1:4" x14ac:dyDescent="0.25">
      <c r="A10" t="s">
        <v>3</v>
      </c>
      <c r="B10">
        <v>7.4636720000000008</v>
      </c>
      <c r="C10" t="s">
        <v>7</v>
      </c>
      <c r="D10">
        <f t="shared" si="0"/>
        <v>25.385089583816228</v>
      </c>
    </row>
    <row r="11" spans="1:4" x14ac:dyDescent="0.25">
      <c r="A11" t="s">
        <v>14</v>
      </c>
      <c r="B11">
        <v>8.2902260000000005</v>
      </c>
      <c r="C11" t="s">
        <v>7</v>
      </c>
      <c r="D11">
        <f t="shared" si="0"/>
        <v>28.196326108661058</v>
      </c>
    </row>
    <row r="12" spans="1:4" x14ac:dyDescent="0.25">
      <c r="A12" t="s">
        <v>4</v>
      </c>
      <c r="B12">
        <v>8.9299379999999999</v>
      </c>
      <c r="C12" t="s">
        <v>7</v>
      </c>
      <c r="D12">
        <f t="shared" si="0"/>
        <v>30.372084425457697</v>
      </c>
    </row>
    <row r="13" spans="1:4" x14ac:dyDescent="0.25">
      <c r="A13" t="s">
        <v>5</v>
      </c>
      <c r="B13">
        <v>9.5642519999999998</v>
      </c>
      <c r="C13" t="s">
        <v>7</v>
      </c>
      <c r="D13">
        <f t="shared" si="0"/>
        <v>32.529483318960629</v>
      </c>
    </row>
    <row r="14" spans="1:4" x14ac:dyDescent="0.25">
      <c r="A14" t="s">
        <v>1</v>
      </c>
      <c r="B14">
        <v>19.396170000000001</v>
      </c>
      <c r="C14" t="s">
        <v>6</v>
      </c>
      <c r="D14">
        <f>B14/29.401795*100</f>
        <v>65.969339627053387</v>
      </c>
    </row>
    <row r="15" spans="1:4" x14ac:dyDescent="0.25">
      <c r="A15" t="s">
        <v>2</v>
      </c>
      <c r="B15">
        <v>14.864867</v>
      </c>
      <c r="C15" t="s">
        <v>6</v>
      </c>
      <c r="D15">
        <f t="shared" si="0"/>
        <v>50.557685338599221</v>
      </c>
    </row>
    <row r="16" spans="1:4" x14ac:dyDescent="0.25">
      <c r="A16" t="s">
        <v>3</v>
      </c>
      <c r="B16">
        <v>13.517483</v>
      </c>
      <c r="C16" t="s">
        <v>6</v>
      </c>
      <c r="D16">
        <f t="shared" si="0"/>
        <v>45.975026354683443</v>
      </c>
    </row>
    <row r="17" spans="1:4" x14ac:dyDescent="0.25">
      <c r="A17" t="s">
        <v>14</v>
      </c>
      <c r="B17">
        <v>12.729946</v>
      </c>
      <c r="C17" t="s">
        <v>6</v>
      </c>
      <c r="D17">
        <f t="shared" si="0"/>
        <v>43.296492612100721</v>
      </c>
    </row>
    <row r="18" spans="1:4" x14ac:dyDescent="0.25">
      <c r="A18" t="s">
        <v>4</v>
      </c>
      <c r="B18">
        <v>12.143537999999999</v>
      </c>
      <c r="C18" t="s">
        <v>6</v>
      </c>
      <c r="D18">
        <f t="shared" si="0"/>
        <v>41.302029348888389</v>
      </c>
    </row>
    <row r="19" spans="1:4" x14ac:dyDescent="0.25">
      <c r="A19" t="s">
        <v>5</v>
      </c>
      <c r="B19">
        <v>11.233741</v>
      </c>
      <c r="C19" t="s">
        <v>6</v>
      </c>
      <c r="D19">
        <f>B19/29.401795*100</f>
        <v>38.207670654121628</v>
      </c>
    </row>
    <row r="21" spans="1:4" x14ac:dyDescent="0.25">
      <c r="A21" t="s">
        <v>2</v>
      </c>
      <c r="B21" s="1">
        <f>6.734436/B3</f>
        <v>0.82830000033208573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DE36-9BB1-4A4D-A621-42FED7BE4793}">
  <dimension ref="A1:E14"/>
  <sheetViews>
    <sheetView workbookViewId="0">
      <selection activeCell="E12" sqref="E12"/>
    </sheetView>
  </sheetViews>
  <sheetFormatPr defaultRowHeight="15" x14ac:dyDescent="0.25"/>
  <cols>
    <col min="1" max="1" width="14.28515625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15</v>
      </c>
    </row>
    <row r="2" spans="1:5" x14ac:dyDescent="0.25">
      <c r="A2" t="s">
        <v>12</v>
      </c>
      <c r="B2">
        <v>11.173999999999999</v>
      </c>
      <c r="C2" t="s">
        <v>0</v>
      </c>
      <c r="D2">
        <f>B2/32*100</f>
        <v>34.918749999999996</v>
      </c>
      <c r="E2">
        <v>10</v>
      </c>
    </row>
    <row r="3" spans="1:5" x14ac:dyDescent="0.25">
      <c r="A3" t="s">
        <v>13</v>
      </c>
      <c r="B3">
        <v>19.972000000000001</v>
      </c>
      <c r="C3" t="s">
        <v>0</v>
      </c>
      <c r="D3">
        <f>B3/60*100</f>
        <v>33.286666666666669</v>
      </c>
      <c r="E3">
        <v>10</v>
      </c>
    </row>
    <row r="4" spans="1:5" x14ac:dyDescent="0.25">
      <c r="A4" t="s">
        <v>12</v>
      </c>
      <c r="B4">
        <v>18.117000000000001</v>
      </c>
      <c r="C4" t="s">
        <v>6</v>
      </c>
      <c r="D4">
        <f>B4/32*100</f>
        <v>56.615625000000001</v>
      </c>
      <c r="E4">
        <v>10</v>
      </c>
    </row>
    <row r="5" spans="1:5" x14ac:dyDescent="0.25">
      <c r="A5" t="s">
        <v>13</v>
      </c>
      <c r="B5">
        <v>32.563000000000002</v>
      </c>
      <c r="C5" t="s">
        <v>6</v>
      </c>
      <c r="D5">
        <f>B5/60*100</f>
        <v>54.271666666666675</v>
      </c>
      <c r="E5">
        <v>10</v>
      </c>
    </row>
    <row r="6" spans="1:5" x14ac:dyDescent="0.25">
      <c r="A6" t="s">
        <v>12</v>
      </c>
      <c r="B6">
        <v>14.718</v>
      </c>
      <c r="C6" t="s">
        <v>0</v>
      </c>
      <c r="D6">
        <f>B6/32*100</f>
        <v>45.993749999999999</v>
      </c>
      <c r="E6">
        <v>5</v>
      </c>
    </row>
    <row r="7" spans="1:5" x14ac:dyDescent="0.25">
      <c r="A7" t="s">
        <v>13</v>
      </c>
      <c r="B7">
        <v>26.032</v>
      </c>
      <c r="C7" t="s">
        <v>0</v>
      </c>
      <c r="D7">
        <f>B7/60*100</f>
        <v>43.38666666666667</v>
      </c>
      <c r="E7">
        <v>5</v>
      </c>
    </row>
    <row r="8" spans="1:5" x14ac:dyDescent="0.25">
      <c r="A8" t="s">
        <v>12</v>
      </c>
      <c r="B8">
        <v>18.117000000000001</v>
      </c>
      <c r="C8" t="s">
        <v>6</v>
      </c>
      <c r="D8">
        <f>B8/32*100</f>
        <v>56.615625000000001</v>
      </c>
      <c r="E8">
        <v>5</v>
      </c>
    </row>
    <row r="9" spans="1:5" x14ac:dyDescent="0.25">
      <c r="A9" t="s">
        <v>13</v>
      </c>
      <c r="B9">
        <v>32.563000000000002</v>
      </c>
      <c r="C9" t="s">
        <v>6</v>
      </c>
      <c r="D9">
        <f>B9/60*100</f>
        <v>54.271666666666675</v>
      </c>
      <c r="E9">
        <v>5</v>
      </c>
    </row>
    <row r="11" spans="1:5" x14ac:dyDescent="0.25">
      <c r="A11" t="s">
        <v>12</v>
      </c>
      <c r="B11">
        <f>1-(11.174/18.117)</f>
        <v>0.38323121929679316</v>
      </c>
      <c r="C11">
        <v>10</v>
      </c>
    </row>
    <row r="12" spans="1:5" x14ac:dyDescent="0.25">
      <c r="A12" t="s">
        <v>13</v>
      </c>
      <c r="B12">
        <f>1-(19.972/32.563)</f>
        <v>0.38666584774130153</v>
      </c>
      <c r="C12">
        <v>10</v>
      </c>
    </row>
    <row r="13" spans="1:5" x14ac:dyDescent="0.25">
      <c r="A13" t="s">
        <v>12</v>
      </c>
      <c r="B13" s="1">
        <f>(18.117-14.718)/14.718</f>
        <v>0.2309417040358745</v>
      </c>
      <c r="C13">
        <v>5</v>
      </c>
    </row>
    <row r="14" spans="1:5" x14ac:dyDescent="0.25">
      <c r="A14" t="s">
        <v>13</v>
      </c>
      <c r="B14" s="1">
        <f>(32.563-26.032)/26.032</f>
        <v>0.25088352796558089</v>
      </c>
      <c r="C14">
        <v>5</v>
      </c>
    </row>
  </sheetData>
  <pageMargins left="0.7" right="0.7" top="0.75" bottom="0.75" header="0.3" footer="0.3"/>
  <ignoredErrors>
    <ignoredError sqref="D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9860-E27F-435E-AF92-4A337ED7B00A}">
  <dimension ref="A1:G19"/>
  <sheetViews>
    <sheetView workbookViewId="0">
      <selection activeCell="F10" sqref="F10"/>
    </sheetView>
  </sheetViews>
  <sheetFormatPr defaultRowHeight="15" x14ac:dyDescent="0.25"/>
  <cols>
    <col min="3" max="3" width="14.5703125" customWidth="1"/>
  </cols>
  <sheetData>
    <row r="1" spans="1:7" x14ac:dyDescent="0.25">
      <c r="A1" t="s">
        <v>9</v>
      </c>
      <c r="B1" t="s">
        <v>8</v>
      </c>
      <c r="C1" t="s">
        <v>10</v>
      </c>
      <c r="D1" t="s">
        <v>11</v>
      </c>
    </row>
    <row r="2" spans="1:7" x14ac:dyDescent="0.25">
      <c r="A2">
        <v>16.121862</v>
      </c>
      <c r="B2" t="s">
        <v>1</v>
      </c>
      <c r="C2" t="s">
        <v>6</v>
      </c>
      <c r="D2">
        <f>A2/29.401795*100</f>
        <v>54.83291751404974</v>
      </c>
    </row>
    <row r="3" spans="1:7" x14ac:dyDescent="0.25">
      <c r="A3">
        <v>13.413425999999999</v>
      </c>
      <c r="B3" t="s">
        <v>2</v>
      </c>
      <c r="C3" t="s">
        <v>6</v>
      </c>
      <c r="D3">
        <f t="shared" ref="D3:D19" si="0">A3/29.401795*100</f>
        <v>45.621112588534132</v>
      </c>
    </row>
    <row r="4" spans="1:7" x14ac:dyDescent="0.25">
      <c r="A4">
        <v>12.0398</v>
      </c>
      <c r="B4" t="s">
        <v>3</v>
      </c>
      <c r="C4" t="s">
        <v>6</v>
      </c>
      <c r="D4">
        <f t="shared" si="0"/>
        <v>40.949200550510604</v>
      </c>
    </row>
    <row r="5" spans="1:7" x14ac:dyDescent="0.25">
      <c r="A5">
        <v>11.202551</v>
      </c>
      <c r="B5" t="s">
        <v>14</v>
      </c>
      <c r="C5" t="s">
        <v>6</v>
      </c>
      <c r="D5">
        <f t="shared" si="0"/>
        <v>38.101588695520121</v>
      </c>
    </row>
    <row r="6" spans="1:7" x14ac:dyDescent="0.25">
      <c r="A6">
        <v>10.583715</v>
      </c>
      <c r="B6" t="s">
        <v>4</v>
      </c>
      <c r="C6" t="s">
        <v>6</v>
      </c>
      <c r="D6">
        <f t="shared" si="0"/>
        <v>35.996832846429953</v>
      </c>
    </row>
    <row r="7" spans="1:7" x14ac:dyDescent="0.25">
      <c r="A7">
        <v>9.6714669999999998</v>
      </c>
      <c r="B7" t="s">
        <v>5</v>
      </c>
      <c r="C7" t="s">
        <v>6</v>
      </c>
      <c r="D7">
        <f t="shared" si="0"/>
        <v>32.894137925932753</v>
      </c>
    </row>
    <row r="8" spans="1:7" x14ac:dyDescent="0.25">
      <c r="A8">
        <v>12.599938</v>
      </c>
      <c r="B8" t="s">
        <v>1</v>
      </c>
      <c r="C8" t="s">
        <v>0</v>
      </c>
      <c r="D8">
        <f>A8/29.401795*100</f>
        <v>42.8543155273343</v>
      </c>
      <c r="E8">
        <v>3.5219240000000003</v>
      </c>
      <c r="F8">
        <f>E8/A8</f>
        <v>0.27951915318948395</v>
      </c>
      <c r="G8">
        <f>A8+E8</f>
        <v>16.121862</v>
      </c>
    </row>
    <row r="9" spans="1:7" x14ac:dyDescent="0.25">
      <c r="A9">
        <v>7.8842210000000001</v>
      </c>
      <c r="B9" t="s">
        <v>2</v>
      </c>
      <c r="C9" t="s">
        <v>0</v>
      </c>
      <c r="D9">
        <f t="shared" si="0"/>
        <v>26.815441030045957</v>
      </c>
      <c r="E9">
        <v>5.5292049999999993</v>
      </c>
      <c r="F9" s="3">
        <f t="shared" ref="F9:F13" si="1">E9/A9</f>
        <v>0.70130010307930224</v>
      </c>
      <c r="G9">
        <f t="shared" ref="G9:G13" si="2">A9+E9</f>
        <v>13.413425999999999</v>
      </c>
    </row>
    <row r="10" spans="1:7" x14ac:dyDescent="0.25">
      <c r="A10">
        <v>5.6929569999999998</v>
      </c>
      <c r="B10" t="s">
        <v>3</v>
      </c>
      <c r="C10" t="s">
        <v>0</v>
      </c>
      <c r="D10">
        <f t="shared" si="0"/>
        <v>19.362617146334095</v>
      </c>
      <c r="E10">
        <v>6.3468429999999998</v>
      </c>
      <c r="F10" s="2">
        <f t="shared" si="1"/>
        <v>1.1148587632051323</v>
      </c>
      <c r="G10">
        <f t="shared" si="2"/>
        <v>12.0398</v>
      </c>
    </row>
    <row r="11" spans="1:7" x14ac:dyDescent="0.25">
      <c r="A11">
        <v>4.0730639999999996</v>
      </c>
      <c r="B11" t="s">
        <v>14</v>
      </c>
      <c r="C11" t="s">
        <v>0</v>
      </c>
      <c r="D11">
        <f t="shared" si="0"/>
        <v>13.853113389845756</v>
      </c>
      <c r="E11">
        <v>7.1294870000000001</v>
      </c>
      <c r="F11">
        <f t="shared" si="1"/>
        <v>1.7503989625500609</v>
      </c>
      <c r="G11">
        <f t="shared" si="2"/>
        <v>11.202551</v>
      </c>
    </row>
    <row r="12" spans="1:7" x14ac:dyDescent="0.25">
      <c r="A12">
        <v>2.8662830000000001</v>
      </c>
      <c r="B12" t="s">
        <v>4</v>
      </c>
      <c r="C12" t="s">
        <v>0</v>
      </c>
      <c r="D12">
        <f t="shared" si="0"/>
        <v>9.7486667055531822</v>
      </c>
      <c r="E12">
        <v>7.7174319999999996</v>
      </c>
      <c r="F12">
        <f t="shared" si="1"/>
        <v>2.6924877969132841</v>
      </c>
      <c r="G12">
        <f t="shared" si="2"/>
        <v>10.583715</v>
      </c>
    </row>
    <row r="13" spans="1:7" x14ac:dyDescent="0.25">
      <c r="A13">
        <v>1.3881650000000001</v>
      </c>
      <c r="B13" t="s">
        <v>5</v>
      </c>
      <c r="C13" t="s">
        <v>0</v>
      </c>
      <c r="D13">
        <f t="shared" si="0"/>
        <v>4.7213613998737154</v>
      </c>
      <c r="E13">
        <v>8.2833019999999991</v>
      </c>
      <c r="F13">
        <f t="shared" si="1"/>
        <v>5.967087485997701</v>
      </c>
      <c r="G13">
        <f t="shared" si="2"/>
        <v>9.6714669999999998</v>
      </c>
    </row>
    <row r="14" spans="1:7" x14ac:dyDescent="0.25">
      <c r="A14">
        <v>3.5219240000000003</v>
      </c>
      <c r="B14" t="s">
        <v>1</v>
      </c>
      <c r="C14" t="s">
        <v>7</v>
      </c>
      <c r="D14">
        <f>A14/29.401795*100</f>
        <v>11.978601986715438</v>
      </c>
    </row>
    <row r="15" spans="1:7" x14ac:dyDescent="0.25">
      <c r="A15">
        <v>5.5292049999999993</v>
      </c>
      <c r="B15" t="s">
        <v>2</v>
      </c>
      <c r="C15" t="s">
        <v>7</v>
      </c>
      <c r="D15">
        <f t="shared" si="0"/>
        <v>18.805671558488179</v>
      </c>
    </row>
    <row r="16" spans="1:7" x14ac:dyDescent="0.25">
      <c r="A16">
        <v>6.3468429999999998</v>
      </c>
      <c r="B16" t="s">
        <v>3</v>
      </c>
      <c r="C16" t="s">
        <v>7</v>
      </c>
      <c r="D16">
        <f>A16/29.401795*100</f>
        <v>21.586583404176512</v>
      </c>
    </row>
    <row r="17" spans="1:4" x14ac:dyDescent="0.25">
      <c r="A17">
        <v>7.1294870000000001</v>
      </c>
      <c r="B17" t="s">
        <v>14</v>
      </c>
      <c r="C17" t="s">
        <v>7</v>
      </c>
      <c r="D17">
        <f t="shared" si="0"/>
        <v>24.248475305674365</v>
      </c>
    </row>
    <row r="18" spans="1:4" x14ac:dyDescent="0.25">
      <c r="A18">
        <v>7.7174319999999996</v>
      </c>
      <c r="B18" t="s">
        <v>4</v>
      </c>
      <c r="C18" t="s">
        <v>7</v>
      </c>
      <c r="D18">
        <f t="shared" si="0"/>
        <v>26.248166140876773</v>
      </c>
    </row>
    <row r="19" spans="1:4" x14ac:dyDescent="0.25">
      <c r="A19">
        <v>8.2833019999999991</v>
      </c>
      <c r="B19" t="s">
        <v>5</v>
      </c>
      <c r="C19" t="s">
        <v>7</v>
      </c>
      <c r="D19">
        <f t="shared" si="0"/>
        <v>28.172776526059035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AE44-6747-42F6-A4C6-A527173DFFB7}">
  <dimension ref="A1:G7"/>
  <sheetViews>
    <sheetView tabSelected="1" workbookViewId="0">
      <selection activeCell="G4" sqref="G4"/>
    </sheetView>
  </sheetViews>
  <sheetFormatPr defaultRowHeight="15" x14ac:dyDescent="0.25"/>
  <sheetData>
    <row r="1" spans="1:7" x14ac:dyDescent="0.25">
      <c r="A1" t="s">
        <v>9</v>
      </c>
      <c r="B1" t="s">
        <v>10</v>
      </c>
      <c r="C1" t="s">
        <v>11</v>
      </c>
      <c r="D1" t="s">
        <v>15</v>
      </c>
    </row>
    <row r="2" spans="1:7" x14ac:dyDescent="0.25">
      <c r="A2">
        <v>12.835000000000001</v>
      </c>
      <c r="B2" t="s">
        <v>0</v>
      </c>
      <c r="C2">
        <f>A2/60*100</f>
        <v>21.391666666666666</v>
      </c>
      <c r="D2">
        <v>15</v>
      </c>
      <c r="E2">
        <v>28.108000000000001</v>
      </c>
      <c r="F2">
        <f>E2-A2</f>
        <v>15.273</v>
      </c>
      <c r="G2">
        <f>F2/A2</f>
        <v>1.1899493572263342</v>
      </c>
    </row>
    <row r="3" spans="1:7" x14ac:dyDescent="0.25">
      <c r="A3">
        <v>28.108000000000001</v>
      </c>
      <c r="B3" t="s">
        <v>6</v>
      </c>
      <c r="C3">
        <f>A3/60*100</f>
        <v>46.846666666666671</v>
      </c>
      <c r="D3">
        <v>15</v>
      </c>
    </row>
    <row r="4" spans="1:7" x14ac:dyDescent="0.25">
      <c r="A4">
        <v>18.13</v>
      </c>
      <c r="B4" t="s">
        <v>0</v>
      </c>
      <c r="C4">
        <f>A4/60*100</f>
        <v>30.216666666666665</v>
      </c>
      <c r="D4">
        <v>10</v>
      </c>
      <c r="E4">
        <v>30.065000000000001</v>
      </c>
      <c r="F4">
        <f>E4-A4</f>
        <v>11.935000000000002</v>
      </c>
      <c r="G4" s="2">
        <f>F4/A4</f>
        <v>0.65830115830115843</v>
      </c>
    </row>
    <row r="5" spans="1:7" x14ac:dyDescent="0.25">
      <c r="A5">
        <v>30.065000000000001</v>
      </c>
      <c r="B5" t="s">
        <v>6</v>
      </c>
      <c r="C5">
        <f>A5/60*100</f>
        <v>50.108333333333334</v>
      </c>
      <c r="D5">
        <v>10</v>
      </c>
    </row>
    <row r="6" spans="1:7" x14ac:dyDescent="0.25">
      <c r="A6">
        <v>24.893999999999998</v>
      </c>
      <c r="B6" t="s">
        <v>0</v>
      </c>
      <c r="C6">
        <f>A6/60*100</f>
        <v>41.49</v>
      </c>
      <c r="D6">
        <v>5</v>
      </c>
      <c r="E6">
        <v>33.07</v>
      </c>
      <c r="F6">
        <f>E6-A6</f>
        <v>8.1760000000000019</v>
      </c>
      <c r="G6">
        <f>F6/A6</f>
        <v>0.32843255402908339</v>
      </c>
    </row>
    <row r="7" spans="1:7" x14ac:dyDescent="0.25">
      <c r="A7">
        <v>33.07</v>
      </c>
      <c r="B7" t="s">
        <v>6</v>
      </c>
      <c r="C7">
        <f>A7/60*100</f>
        <v>55.116666666666667</v>
      </c>
      <c r="D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allCpGs_cov</vt:lpstr>
      <vt:lpstr>classifier_cov</vt:lpstr>
      <vt:lpstr>allCpGs_cov_update</vt:lpstr>
      <vt:lpstr>TCGA_inter_cov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Gu</dc:creator>
  <cp:lastModifiedBy>Wei Gu</cp:lastModifiedBy>
  <dcterms:created xsi:type="dcterms:W3CDTF">2024-01-18T23:55:33Z</dcterms:created>
  <dcterms:modified xsi:type="dcterms:W3CDTF">2025-07-30T22:59:13Z</dcterms:modified>
</cp:coreProperties>
</file>